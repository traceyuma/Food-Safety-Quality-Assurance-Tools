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Dashboard" sheetId="1" state="visible" r:id="rId1"/>
    <sheet xmlns:r="http://schemas.openxmlformats.org/officeDocument/2006/relationships" name="PRP Checklist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6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2C3E50"/>
      <sz val="10"/>
    </font>
    <font>
      <name val="Segoe UI"/>
      <b val="1"/>
      <color rgb="00FFFFFF"/>
      <sz val="16"/>
    </font>
    <font>
      <name val="Segoe UI"/>
      <b val="1"/>
      <color rgb="001B365D"/>
      <sz val="11"/>
    </font>
    <font>
      <name val="Segoe UI"/>
      <b val="1"/>
      <color rgb="002C3E5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7F6"/>
        <bgColor rgb="00F4F7F6"/>
      </patternFill>
    </fill>
    <fill>
      <patternFill patternType="solid">
        <fgColor rgb="004A777A"/>
        <bgColor rgb="004A777A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PRP AUDIT FRAMEWORK &amp; DIAGNOSTIC DASHBOARD</t>
        </is>
      </c>
    </row>
    <row r="2"/>
    <row r="3"/>
    <row r="4">
      <c r="A4" s="2" t="inlineStr">
        <is>
          <t>Facility Name:</t>
        </is>
      </c>
      <c r="B4" s="3" t="inlineStr">
        <is>
          <t>Nairobi Food Processing Hub - Line B</t>
        </is>
      </c>
      <c r="C4" s="3" t="inlineStr"/>
      <c r="D4" s="2" t="inlineStr">
        <is>
          <t>Audit Date:</t>
        </is>
      </c>
      <c r="E4" s="3" t="inlineStr">
        <is>
          <t>2026-05-26</t>
        </is>
      </c>
    </row>
    <row r="5">
      <c r="A5" s="2" t="inlineStr">
        <is>
          <t>Lead Auditor:</t>
        </is>
      </c>
      <c r="B5" s="3" t="inlineStr">
        <is>
          <t>QA Compliance Engineer</t>
        </is>
      </c>
      <c r="C5" s="3" t="inlineStr"/>
      <c r="D5" s="2" t="inlineStr">
        <is>
          <t>Standard:</t>
        </is>
      </c>
      <c r="E5" s="3" t="inlineStr">
        <is>
          <t>ISO 22000 / KEBS EAS</t>
        </is>
      </c>
    </row>
    <row r="6"/>
    <row r="7">
      <c r="A7" s="2" t="inlineStr">
        <is>
          <t>KPI Metrics Summary</t>
        </is>
      </c>
    </row>
    <row r="8" ht="22" customHeight="1">
      <c r="A8" s="4" t="inlineStr">
        <is>
          <t>Metric Description</t>
        </is>
      </c>
      <c r="B8" s="4" t="inlineStr">
        <is>
          <t>Value</t>
        </is>
      </c>
      <c r="C8" s="4" t="inlineStr">
        <is>
          <t>Target</t>
        </is>
      </c>
      <c r="D8" s="4" t="inlineStr">
        <is>
          <t>Status Flag</t>
        </is>
      </c>
    </row>
    <row r="9">
      <c r="A9" s="5" t="inlineStr">
        <is>
          <t>Total Score Achieved</t>
        </is>
      </c>
      <c r="B9" s="6">
        <f>SUM('PRP Checklist Data'!D2:D9)</f>
        <v/>
      </c>
      <c r="C9" s="7" t="n"/>
      <c r="D9" s="7" t="n"/>
    </row>
    <row r="10">
      <c r="A10" s="5" t="inlineStr">
        <is>
          <t>Maximum Possible Score</t>
        </is>
      </c>
      <c r="B10" s="6">
        <f>SUM('PRP Checklist Data'!E2:E9)</f>
        <v/>
      </c>
      <c r="C10" s="7" t="n"/>
      <c r="D10" s="7" t="n"/>
    </row>
    <row r="11">
      <c r="A11" s="5" t="inlineStr">
        <is>
          <t>Global Compliance Rate</t>
        </is>
      </c>
      <c r="B11" s="8">
        <f>(B9/B10)*100</f>
        <v/>
      </c>
      <c r="C11" s="9" t="inlineStr">
        <is>
          <t>&gt;= 80.0%</t>
        </is>
      </c>
      <c r="D11" s="6">
        <f>IF(B11&gt;=80,"CONFORMS [PASS]","REMEDIAL ACTION REQUIRED [FAIL]")</f>
        <v/>
      </c>
    </row>
    <row r="12">
      <c r="A12" s="5" t="inlineStr">
        <is>
          <t>Kenyan Industry SME Baseline Reference</t>
        </is>
      </c>
      <c r="B12" s="8" t="n">
        <v>58</v>
      </c>
      <c r="C12" s="7" t="n"/>
      <c r="D12" s="7" t="n"/>
    </row>
  </sheetData>
  <mergeCells count="1">
    <mergeCell ref="A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  <col width="45" customWidth="1" min="3" max="3"/>
    <col width="12" customWidth="1" min="4" max="4"/>
    <col width="12" customWidth="1" min="5" max="5"/>
    <col width="45" customWidth="1" min="6" max="6"/>
    <col width="26" customWidth="1" min="7" max="7"/>
  </cols>
  <sheetData>
    <row r="1" ht="28" customHeight="1">
      <c r="A1" s="10" t="inlineStr">
        <is>
          <t>Audit Item ID</t>
        </is>
      </c>
      <c r="B1" s="10" t="inlineStr">
        <is>
          <t>PRP Category</t>
        </is>
      </c>
      <c r="C1" s="10" t="inlineStr">
        <is>
          <t>Specific Technical Requirement (KEBS / ISO 22000)</t>
        </is>
      </c>
      <c r="D1" s="10" t="inlineStr">
        <is>
          <t>Score</t>
        </is>
      </c>
      <c r="E1" s="10" t="inlineStr">
        <is>
          <t>Max Score</t>
        </is>
      </c>
      <c r="F1" s="10" t="inlineStr">
        <is>
          <t>Verification Findings &amp; Field Evidence</t>
        </is>
      </c>
      <c r="G1" s="10" t="inlineStr">
        <is>
          <t>Corrective Action Owner</t>
        </is>
      </c>
    </row>
    <row r="2" ht="24" customHeight="1">
      <c r="A2" s="11" t="inlineStr">
        <is>
          <t>PRP-1.01</t>
        </is>
      </c>
      <c r="B2" s="12" t="inlineStr">
        <is>
          <t>Personnel Hygiene</t>
        </is>
      </c>
      <c r="C2" s="12" t="inlineStr">
        <is>
          <t>Valid medical clearance certificates for all handlers (Public Health Act Cap 242).</t>
        </is>
      </c>
      <c r="D2" s="11" t="n">
        <v>4</v>
      </c>
      <c r="E2" s="11" t="n">
        <v>5</v>
      </c>
      <c r="F2" s="12" t="inlineStr">
        <is>
          <t>All active shift handlers certified; 1 certificate due for renewal next week.</t>
        </is>
      </c>
      <c r="G2" s="12" t="inlineStr">
        <is>
          <t>QA Supervisor</t>
        </is>
      </c>
    </row>
    <row r="3" ht="24" customHeight="1">
      <c r="A3" s="13" t="inlineStr">
        <is>
          <t>PRP-1.02</t>
        </is>
      </c>
      <c r="B3" s="14" t="inlineStr">
        <is>
          <t>Personnel Hygiene</t>
        </is>
      </c>
      <c r="C3" s="14" t="inlineStr">
        <is>
          <t>Correct deployment of clean protective clothing (aprons, hairnets, safety footwear).</t>
        </is>
      </c>
      <c r="D3" s="13" t="n">
        <v>5</v>
      </c>
      <c r="E3" s="13" t="n">
        <v>5</v>
      </c>
      <c r="F3" s="14" t="inlineStr">
        <is>
          <t>100% compliance observed across slicing and packaging lines.</t>
        </is>
      </c>
      <c r="G3" s="14" t="inlineStr">
        <is>
          <t>Floor Supervisor</t>
        </is>
      </c>
    </row>
    <row r="4" ht="24" customHeight="1">
      <c r="A4" s="11" t="inlineStr">
        <is>
          <t>PRP-2.01</t>
        </is>
      </c>
      <c r="B4" s="12" t="inlineStr">
        <is>
          <t>Sanitation Infrastructure</t>
        </is>
      </c>
      <c r="C4" s="12" t="inlineStr">
        <is>
          <t>Functional footbaths at entries with validated sanitizer concentrations (&gt;200ppm chlorine).</t>
        </is>
      </c>
      <c r="D4" s="11" t="n">
        <v>2</v>
      </c>
      <c r="E4" s="11" t="n">
        <v>5</v>
      </c>
      <c r="F4" s="12" t="inlineStr">
        <is>
          <t>Titration test showed 120ppm at Line 1 entrance. Immediately recharged during audit.</t>
        </is>
      </c>
      <c r="G4" s="12" t="inlineStr">
        <is>
          <t>Sanitation Lead</t>
        </is>
      </c>
    </row>
    <row r="5" ht="24" customHeight="1">
      <c r="A5" s="13" t="inlineStr">
        <is>
          <t>PRP-2.02</t>
        </is>
      </c>
      <c r="B5" s="14" t="inlineStr">
        <is>
          <t>Sanitation Infrastructure</t>
        </is>
      </c>
      <c r="C5" s="14" t="inlineStr">
        <is>
          <t>Continuous supply of potable water, liquid handwash soap, and single-use towels at all stations.</t>
        </is>
      </c>
      <c r="D5" s="13" t="n">
        <v>5</v>
      </c>
      <c r="E5" s="13" t="n">
        <v>5</v>
      </c>
      <c r="F5" s="14" t="inlineStr">
        <is>
          <t>All verification check stations fully stocked.</t>
        </is>
      </c>
      <c r="G5" s="14" t="inlineStr">
        <is>
          <t>Sanitation Lead</t>
        </is>
      </c>
    </row>
    <row r="6" ht="24" customHeight="1">
      <c r="A6" s="11" t="inlineStr">
        <is>
          <t>PRP-3.01</t>
        </is>
      </c>
      <c r="B6" s="12" t="inlineStr">
        <is>
          <t>Layout &amp; Equipment Surface</t>
        </is>
      </c>
      <c r="C6" s="12" t="inlineStr">
        <is>
          <t>Food contact surfaces smooth, non-absorbent, free of cracks, crevices, or oxidation.</t>
        </is>
      </c>
      <c r="D6" s="11" t="n">
        <v>3</v>
      </c>
      <c r="E6" s="11" t="n">
        <v>5</v>
      </c>
      <c r="F6" s="12" t="inlineStr">
        <is>
          <t>Microbial trapping micro-fissures identified on the welding seam of Conveyor 2.</t>
        </is>
      </c>
      <c r="G6" s="12" t="inlineStr">
        <is>
          <t>Maintenance Engineer</t>
        </is>
      </c>
    </row>
    <row r="7" ht="24" customHeight="1">
      <c r="A7" s="13" t="inlineStr">
        <is>
          <t>PRP-3.02</t>
        </is>
      </c>
      <c r="B7" s="14" t="inlineStr">
        <is>
          <t>Layout &amp; Equipment Surface</t>
        </is>
      </c>
      <c r="C7" s="14" t="inlineStr">
        <is>
          <t>Adequate physical separation between raw material reception and finished product packaging.</t>
        </is>
      </c>
      <c r="D7" s="13" t="n">
        <v>4</v>
      </c>
      <c r="E7" s="13" t="n">
        <v>5</v>
      </c>
      <c r="F7" s="14" t="inlineStr">
        <is>
          <t>Zoning layout effective; air pressure differentials confirm positive flow in packaging.</t>
        </is>
      </c>
      <c r="G7" s="14" t="inlineStr">
        <is>
          <t>Plant Engineer</t>
        </is>
      </c>
    </row>
    <row r="8" ht="24" customHeight="1">
      <c r="A8" s="11" t="inlineStr">
        <is>
          <t>PRP-4.01</t>
        </is>
      </c>
      <c r="B8" s="12" t="inlineStr">
        <is>
          <t>Waste &amp; Drainage Systems</t>
        </is>
      </c>
      <c r="C8" s="12" t="inlineStr">
        <is>
          <t>Drainage lines flow from clean to dirty areas with traps and screens fully intact.</t>
        </is>
      </c>
      <c r="D8" s="11" t="n">
        <v>3</v>
      </c>
      <c r="E8" s="11" t="n">
        <v>5</v>
      </c>
      <c r="F8" s="12" t="inlineStr">
        <is>
          <t>Line 2 floor drain screen damaged. High potential for pest ingress if unaddressed.</t>
        </is>
      </c>
      <c r="G8" s="12" t="inlineStr">
        <is>
          <t>Facilities Lead</t>
        </is>
      </c>
    </row>
    <row r="9" ht="24" customHeight="1">
      <c r="A9" s="13" t="inlineStr">
        <is>
          <t>PRP-4.02</t>
        </is>
      </c>
      <c r="B9" s="14" t="inlineStr">
        <is>
          <t>Waste &amp; Drainage Systems</t>
        </is>
      </c>
      <c r="C9" s="14" t="inlineStr">
        <is>
          <t>Waste receptacles clearly color-coded, foot-operated, and evacuated at defined frequencies.</t>
        </is>
      </c>
      <c r="D9" s="13" t="n">
        <v>5</v>
      </c>
      <c r="E9" s="13" t="n">
        <v>5</v>
      </c>
      <c r="F9" s="14" t="inlineStr">
        <is>
          <t>Waste segregation protocols executed correctly.</t>
        </is>
      </c>
      <c r="G9" s="14" t="inlineStr">
        <is>
          <t>Floor Supervisor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2026-05-26T12:15:22Z</dcterms:created>
  <dcterms:modified xmlns:dcterms="http://purl.org/dc/terms/" xmlns:xsi="http://www.w3.org/2001/XMLSchema-instance" xsi:type="dcterms:W3CDTF">2026-05-26T12:15:22Z</dcterms:modified>
</cp:coreProperties>
</file>